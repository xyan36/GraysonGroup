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xueti\Documents\phd dell files\measurement_codes\suspended_wire\200624\"/>
    </mc:Choice>
  </mc:AlternateContent>
  <xr:revisionPtr revIDLastSave="0" documentId="13_ncr:1_{A466A792-7AE3-4ED4-AEC1-3E040AEFAA4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1" l="1"/>
  <c r="L5" i="1"/>
  <c r="L6" i="1"/>
  <c r="M6" i="1" s="1"/>
  <c r="L7" i="1"/>
  <c r="L8" i="1"/>
  <c r="M8" i="1" s="1"/>
  <c r="L9" i="1"/>
  <c r="L10" i="1"/>
  <c r="M10" i="1" s="1"/>
  <c r="L11" i="1"/>
  <c r="L12" i="1"/>
  <c r="L13" i="1"/>
  <c r="L14" i="1"/>
  <c r="L15" i="1"/>
  <c r="L16" i="1"/>
  <c r="M16" i="1" s="1"/>
  <c r="L17" i="1"/>
  <c r="L18" i="1"/>
  <c r="M18" i="1" s="1"/>
  <c r="L4" i="1"/>
  <c r="M4" i="1" s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I4" i="1"/>
  <c r="H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G17" i="1"/>
  <c r="F18" i="1"/>
  <c r="G18" i="1"/>
  <c r="G4" i="1"/>
  <c r="F4" i="1"/>
  <c r="B6" i="1"/>
  <c r="B8" i="1"/>
  <c r="B10" i="1"/>
  <c r="B16" i="1"/>
  <c r="B18" i="1"/>
  <c r="M15" i="1"/>
  <c r="B14" i="1"/>
  <c r="M14" i="1"/>
  <c r="M12" i="1"/>
  <c r="M11" i="1"/>
  <c r="B11" i="1"/>
  <c r="M7" i="1"/>
  <c r="B7" i="1"/>
  <c r="M5" i="1" l="1"/>
  <c r="B5" i="1"/>
  <c r="M17" i="1"/>
  <c r="B17" i="1"/>
  <c r="M9" i="1"/>
  <c r="B9" i="1"/>
  <c r="B13" i="1"/>
  <c r="M13" i="1"/>
  <c r="B15" i="1"/>
  <c r="B12" i="1"/>
  <c r="B4" i="1"/>
</calcChain>
</file>

<file path=xl/sharedStrings.xml><?xml version="1.0" encoding="utf-8"?>
<sst xmlns="http://schemas.openxmlformats.org/spreadsheetml/2006/main" count="36" uniqueCount="26">
  <si>
    <t>Sample</t>
  </si>
  <si>
    <t>Reference</t>
  </si>
  <si>
    <t>V_input</t>
  </si>
  <si>
    <t>I</t>
  </si>
  <si>
    <t>Time constant</t>
  </si>
  <si>
    <t>sensitivity(V3w)</t>
  </si>
  <si>
    <t>sensitivity(V1w)</t>
  </si>
  <si>
    <t>V_3w_real</t>
  </si>
  <si>
    <t>V_3w_im</t>
  </si>
  <si>
    <t>V_1w_real</t>
  </si>
  <si>
    <t>V_1w_im</t>
  </si>
  <si>
    <t>(V)</t>
  </si>
  <si>
    <t>mA</t>
  </si>
  <si>
    <t>s</t>
  </si>
  <si>
    <t>uV</t>
  </si>
  <si>
    <t>mV</t>
  </si>
  <si>
    <t>(uV)</t>
  </si>
  <si>
    <t>(mV)</t>
  </si>
  <si>
    <t>Rsamp</t>
  </si>
  <si>
    <t>Rref</t>
  </si>
  <si>
    <t>I1w</t>
  </si>
  <si>
    <t>I1w^3</t>
  </si>
  <si>
    <t>at small v input, I1w, 3w behaves weire</t>
  </si>
  <si>
    <t>it is the same trend because Y3 is continuous linear</t>
  </si>
  <si>
    <t>maybe choose V_input when X3 are negative should be fine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</si>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</sst>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11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 applyBorder="1" applyAlignment="1">
      <alignment vertical="center" wrapText="1"/>
    </xf>
    <xf numFmtId="169" fontId="1" fillId="0" borderId="1" xfId="0" applyNumberFormat="1" applyFont="1" applyBorder="1" applyAlignment="1">
      <alignment vertical="center" wrapText="1"/>
    </xf>
    <xf numFmtId="0" fontId="1" fillId="0" borderId="1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11" fontId="1" fillId="0" borderId="5" xfId="0" applyNumberFormat="1" applyFont="1" applyBorder="1" applyAlignment="1">
      <alignment vertical="center" wrapText="1"/>
    </xf>
    <xf numFmtId="0" fontId="1" fillId="0" borderId="5" xfId="0" applyNumberFormat="1" applyFont="1" applyBorder="1" applyAlignment="1">
      <alignment vertical="center" wrapText="1"/>
    </xf>
    <xf numFmtId="0" fontId="1" fillId="0" borderId="4" xfId="0" applyFont="1" applyFill="1" applyBorder="1" applyAlignment="1">
      <alignment horizontal="right" vertical="center" wrapText="1"/>
    </xf>
    <xf numFmtId="0" fontId="0" fillId="0" borderId="4" xfId="0" applyBorder="1"/>
    <xf numFmtId="11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V3 vs. I1w^3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Sheet1!$M$4:$M$18</c:f>
              <c:numCache>
                <c:formatCode>General</c:formatCode>
                <c:ptCount val="15"/>
                <c:pt idx="0">
                  <c:v>5.3448412824890041E-12</c:v>
                </c:pt>
                <c:pt idx="1">
                  <c:v>6.4932691327258382E-10</c:v>
                </c:pt>
                <c:pt idx="2">
                  <c:v>5.2636049402127343E-9</c:v>
                </c:pt>
                <c:pt idx="3">
                  <c:v>1.7661042393171299E-8</c:v>
                </c:pt>
                <c:pt idx="4">
                  <c:v>4.2270265667261642E-8</c:v>
                </c:pt>
                <c:pt idx="5">
                  <c:v>8.2532571169810962E-8</c:v>
                </c:pt>
                <c:pt idx="6">
                  <c:v>1.4159998771984802E-7</c:v>
                </c:pt>
                <c:pt idx="7">
                  <c:v>2.2546621425254398E-7</c:v>
                </c:pt>
                <c:pt idx="8">
                  <c:v>6.579430527889918E-7</c:v>
                </c:pt>
                <c:pt idx="9">
                  <c:v>1.7946912350889076E-6</c:v>
                </c:pt>
                <c:pt idx="10">
                  <c:v>3.7191680845477942E-6</c:v>
                </c:pt>
                <c:pt idx="11">
                  <c:v>6.9667766272990017E-6</c:v>
                </c:pt>
                <c:pt idx="12">
                  <c:v>1.1488254483049722E-5</c:v>
                </c:pt>
                <c:pt idx="13">
                  <c:v>1.7640298248421291E-5</c:v>
                </c:pt>
                <c:pt idx="14">
                  <c:v>2.5663673483296301E-5</c:v>
                </c:pt>
              </c:numCache>
            </c:numRef>
          </c:xVal>
          <c:yVal>
            <c:numRef>
              <c:f>Sheet1!$F$4:$F$18</c:f>
              <c:numCache>
                <c:formatCode>0.0000</c:formatCode>
                <c:ptCount val="15"/>
                <c:pt idx="0">
                  <c:v>-1.39699E-2</c:v>
                </c:pt>
                <c:pt idx="1">
                  <c:v>0.36787399999999998</c:v>
                </c:pt>
                <c:pt idx="2">
                  <c:v>1.6344800000000002</c:v>
                </c:pt>
                <c:pt idx="3">
                  <c:v>2.0740700000000003</c:v>
                </c:pt>
                <c:pt idx="4">
                  <c:v>2.3199399999999999</c:v>
                </c:pt>
                <c:pt idx="5">
                  <c:v>2.4484600000000003</c:v>
                </c:pt>
                <c:pt idx="6">
                  <c:v>2.2845499999999999</c:v>
                </c:pt>
                <c:pt idx="7">
                  <c:v>2.3981700000000004</c:v>
                </c:pt>
                <c:pt idx="8">
                  <c:v>2.5695300000000003</c:v>
                </c:pt>
                <c:pt idx="9">
                  <c:v>0.33993499999999999</c:v>
                </c:pt>
                <c:pt idx="10">
                  <c:v>-1.41096</c:v>
                </c:pt>
                <c:pt idx="11">
                  <c:v>-3.6787399999999999</c:v>
                </c:pt>
                <c:pt idx="12">
                  <c:v>-7.0985699999999996</c:v>
                </c:pt>
                <c:pt idx="13">
                  <c:v>-11.3696</c:v>
                </c:pt>
                <c:pt idx="14">
                  <c:v>-16.976299999999998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47-4DB4-855A-88F02121A541}"/>
            </c:ext>
          </c:extLst>
        </c:ser>
        <c:ser>
          <c:idx val="1"/>
          <c:order val="1"/>
          <c:tx>
            <c:v>Y3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Sheet1!$M$4:$M$18</c:f>
              <c:numCache>
                <c:formatCode>General</c:formatCode>
                <c:ptCount val="15"/>
                <c:pt idx="0">
                  <c:v>5.3448412824890041E-12</c:v>
                </c:pt>
                <c:pt idx="1">
                  <c:v>6.4932691327258382E-10</c:v>
                </c:pt>
                <c:pt idx="2">
                  <c:v>5.2636049402127343E-9</c:v>
                </c:pt>
                <c:pt idx="3">
                  <c:v>1.7661042393171299E-8</c:v>
                </c:pt>
                <c:pt idx="4">
                  <c:v>4.2270265667261642E-8</c:v>
                </c:pt>
                <c:pt idx="5">
                  <c:v>8.2532571169810962E-8</c:v>
                </c:pt>
                <c:pt idx="6">
                  <c:v>1.4159998771984802E-7</c:v>
                </c:pt>
                <c:pt idx="7">
                  <c:v>2.2546621425254398E-7</c:v>
                </c:pt>
                <c:pt idx="8">
                  <c:v>6.579430527889918E-7</c:v>
                </c:pt>
                <c:pt idx="9">
                  <c:v>1.7946912350889076E-6</c:v>
                </c:pt>
                <c:pt idx="10">
                  <c:v>3.7191680845477942E-6</c:v>
                </c:pt>
                <c:pt idx="11">
                  <c:v>6.9667766272990017E-6</c:v>
                </c:pt>
                <c:pt idx="12">
                  <c:v>1.1488254483049722E-5</c:v>
                </c:pt>
                <c:pt idx="13">
                  <c:v>1.7640298248421291E-5</c:v>
                </c:pt>
                <c:pt idx="14">
                  <c:v>2.5663673483296301E-5</c:v>
                </c:pt>
              </c:numCache>
            </c:numRef>
          </c:xVal>
          <c:yVal>
            <c:numRef>
              <c:f>Sheet1!$G$4:$G$18</c:f>
              <c:numCache>
                <c:formatCode>0.0000</c:formatCode>
                <c:ptCount val="15"/>
                <c:pt idx="0">
                  <c:v>-2.7939799999999997E-3</c:v>
                </c:pt>
                <c:pt idx="1">
                  <c:v>0</c:v>
                </c:pt>
                <c:pt idx="2">
                  <c:v>4.4703699999999999E-2</c:v>
                </c:pt>
                <c:pt idx="3">
                  <c:v>3.9115799999999999E-2</c:v>
                </c:pt>
                <c:pt idx="4">
                  <c:v>0.10989699999999999</c:v>
                </c:pt>
                <c:pt idx="5">
                  <c:v>0.227244</c:v>
                </c:pt>
                <c:pt idx="6">
                  <c:v>0.43865500000000002</c:v>
                </c:pt>
                <c:pt idx="7">
                  <c:v>0.72457300000000002</c:v>
                </c:pt>
                <c:pt idx="8">
                  <c:v>1.74996</c:v>
                </c:pt>
                <c:pt idx="9">
                  <c:v>4.8447700000000005</c:v>
                </c:pt>
                <c:pt idx="10">
                  <c:v>9.4064200000000007</c:v>
                </c:pt>
                <c:pt idx="11">
                  <c:v>19.362299999999998</c:v>
                </c:pt>
                <c:pt idx="12">
                  <c:v>32.078700000000005</c:v>
                </c:pt>
                <c:pt idx="13">
                  <c:v>49.4758</c:v>
                </c:pt>
                <c:pt idx="14">
                  <c:v>72.319500000000005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47-4DB4-855A-88F02121A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64448"/>
        <c:axId val="515362480"/>
      </c:scatterChart>
      <c:valAx>
        <c:axId val="51536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I1w^3(mA^3)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62480"/>
        <c:crossesAt val="-30"/>
        <c:crossBetween val="midCat"/>
      </c:valAx>
      <c:valAx>
        <c:axId val="51536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V(uV)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64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V1_ref</a:t>
            </a:r>
            <a:r>
              <a:rPr lang="en-US" baseline="0"/>
              <a:t> vs. I1w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X1_ref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Sheet1!$B$4:$B$18</c:f>
              <c:numCache>
                <c:formatCode>General</c:formatCode>
                <c:ptCount val="15"/>
                <c:pt idx="0">
                  <c:v>0.17484166666666665</c:v>
                </c:pt>
                <c:pt idx="1">
                  <c:v>0.86593999999999993</c:v>
                </c:pt>
                <c:pt idx="2">
                  <c:v>1.7395133333333332</c:v>
                </c:pt>
                <c:pt idx="3">
                  <c:v>2.6041866666666662</c:v>
                </c:pt>
                <c:pt idx="4">
                  <c:v>3.4834666666666667</c:v>
                </c:pt>
                <c:pt idx="5">
                  <c:v>4.3538666666666668</c:v>
                </c:pt>
                <c:pt idx="6">
                  <c:v>5.2122000000000002</c:v>
                </c:pt>
                <c:pt idx="7">
                  <c:v>6.0863999999999994</c:v>
                </c:pt>
                <c:pt idx="8">
                  <c:v>8.6975333333333342</c:v>
                </c:pt>
                <c:pt idx="9">
                  <c:v>12.152433333333333</c:v>
                </c:pt>
                <c:pt idx="10">
                  <c:v>15.493466666666665</c:v>
                </c:pt>
                <c:pt idx="11">
                  <c:v>19.099</c:v>
                </c:pt>
                <c:pt idx="12">
                  <c:v>22.5641</c:v>
                </c:pt>
                <c:pt idx="13">
                  <c:v>26.031666666666666</c:v>
                </c:pt>
                <c:pt idx="14">
                  <c:v>29.496666666666666</c:v>
                </c:pt>
              </c:numCache>
            </c:numRef>
          </c:xVal>
          <c:yVal>
            <c:numRef>
              <c:f>Sheet1!$H$4:$H$18</c:f>
              <c:numCache>
                <c:formatCode>General</c:formatCode>
                <c:ptCount val="15"/>
                <c:pt idx="0">
                  <c:v>0.52452500000000002</c:v>
                </c:pt>
                <c:pt idx="1">
                  <c:v>2.59782</c:v>
                </c:pt>
                <c:pt idx="2">
                  <c:v>5.21854</c:v>
                </c:pt>
                <c:pt idx="3">
                  <c:v>7.8125599999999995</c:v>
                </c:pt>
                <c:pt idx="4">
                  <c:v>10.4504</c:v>
                </c:pt>
                <c:pt idx="5">
                  <c:v>13.0616</c:v>
                </c:pt>
                <c:pt idx="6">
                  <c:v>15.636600000000001</c:v>
                </c:pt>
                <c:pt idx="7">
                  <c:v>18.2592</c:v>
                </c:pt>
                <c:pt idx="8">
                  <c:v>26.092600000000001</c:v>
                </c:pt>
                <c:pt idx="9">
                  <c:v>36.457299999999996</c:v>
                </c:pt>
                <c:pt idx="10">
                  <c:v>46.480399999999996</c:v>
                </c:pt>
                <c:pt idx="11">
                  <c:v>57.297000000000004</c:v>
                </c:pt>
                <c:pt idx="12">
                  <c:v>67.692300000000003</c:v>
                </c:pt>
                <c:pt idx="13">
                  <c:v>78.094999999999999</c:v>
                </c:pt>
                <c:pt idx="14">
                  <c:v>88.49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7-4657-A540-DA9D103D75F0}"/>
            </c:ext>
          </c:extLst>
        </c:ser>
        <c:ser>
          <c:idx val="1"/>
          <c:order val="1"/>
          <c:tx>
            <c:v>Y1_ref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Sheet1!$B$4:$B$18</c:f>
              <c:numCache>
                <c:formatCode>General</c:formatCode>
                <c:ptCount val="15"/>
                <c:pt idx="0">
                  <c:v>0.17484166666666665</c:v>
                </c:pt>
                <c:pt idx="1">
                  <c:v>0.86593999999999993</c:v>
                </c:pt>
                <c:pt idx="2">
                  <c:v>1.7395133333333332</c:v>
                </c:pt>
                <c:pt idx="3">
                  <c:v>2.6041866666666662</c:v>
                </c:pt>
                <c:pt idx="4">
                  <c:v>3.4834666666666667</c:v>
                </c:pt>
                <c:pt idx="5">
                  <c:v>4.3538666666666668</c:v>
                </c:pt>
                <c:pt idx="6">
                  <c:v>5.2122000000000002</c:v>
                </c:pt>
                <c:pt idx="7">
                  <c:v>6.0863999999999994</c:v>
                </c:pt>
                <c:pt idx="8">
                  <c:v>8.6975333333333342</c:v>
                </c:pt>
                <c:pt idx="9">
                  <c:v>12.152433333333333</c:v>
                </c:pt>
                <c:pt idx="10">
                  <c:v>15.493466666666665</c:v>
                </c:pt>
                <c:pt idx="11">
                  <c:v>19.099</c:v>
                </c:pt>
                <c:pt idx="12">
                  <c:v>22.5641</c:v>
                </c:pt>
                <c:pt idx="13">
                  <c:v>26.031666666666666</c:v>
                </c:pt>
                <c:pt idx="14">
                  <c:v>29.496666666666666</c:v>
                </c:pt>
              </c:numCache>
            </c:numRef>
          </c:xVal>
          <c:yVal>
            <c:numRef>
              <c:f>Sheet1!$I$4:$I$18</c:f>
              <c:numCache>
                <c:formatCode>General</c:formatCode>
                <c:ptCount val="15"/>
                <c:pt idx="0">
                  <c:v>0</c:v>
                </c:pt>
                <c:pt idx="1">
                  <c:v>-3.8147299999999997E-3</c:v>
                </c:pt>
                <c:pt idx="2">
                  <c:v>-7.6294500000000003E-3</c:v>
                </c:pt>
                <c:pt idx="3">
                  <c:v>-9.5367999999999998E-3</c:v>
                </c:pt>
                <c:pt idx="4">
                  <c:v>-1.3351500000000001E-2</c:v>
                </c:pt>
                <c:pt idx="5">
                  <c:v>-1.5258900000000001E-2</c:v>
                </c:pt>
                <c:pt idx="6">
                  <c:v>-1.90736E-2</c:v>
                </c:pt>
                <c:pt idx="7">
                  <c:v>-2.28883E-2</c:v>
                </c:pt>
                <c:pt idx="8">
                  <c:v>-3.0517800000000001E-2</c:v>
                </c:pt>
                <c:pt idx="9">
                  <c:v>-4.1961900000000003E-2</c:v>
                </c:pt>
                <c:pt idx="10">
                  <c:v>-5.3406000000000002E-2</c:v>
                </c:pt>
                <c:pt idx="11">
                  <c:v>-6.866499999999999E-2</c:v>
                </c:pt>
                <c:pt idx="12">
                  <c:v>-8.0109099999999989E-2</c:v>
                </c:pt>
                <c:pt idx="13">
                  <c:v>-9.1553200000000001E-2</c:v>
                </c:pt>
                <c:pt idx="14">
                  <c:v>-0.10299700000000001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67-4657-A540-DA9D103D7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687488"/>
        <c:axId val="617690440"/>
      </c:scatterChart>
      <c:valAx>
        <c:axId val="61768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I1w(mA)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90440"/>
        <c:crossesAt val="-2.0000000000000005E-3"/>
        <c:crossBetween val="midCat"/>
      </c:valAx>
      <c:valAx>
        <c:axId val="61769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20</xdr:row>
      <xdr:rowOff>177800</xdr:rowOff>
    </xdr:from>
    <xdr:to>
      <xdr:col>8</xdr:col>
      <xdr:colOff>574675</xdr:colOff>
      <xdr:row>40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1591D7-C957-4AFA-B084-CE026D83B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21</xdr:row>
      <xdr:rowOff>19050</xdr:rowOff>
    </xdr:from>
    <xdr:to>
      <xdr:col>18</xdr:col>
      <xdr:colOff>203200</xdr:colOff>
      <xdr:row>40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7E4749-0431-4A46-8583-F104904F2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4" workbookViewId="0">
      <selection activeCell="C20" sqref="C20"/>
    </sheetView>
  </sheetViews>
  <sheetFormatPr defaultRowHeight="14.5" x14ac:dyDescent="0.35"/>
  <cols>
    <col min="6" max="7" width="9.453125" bestFit="1" customWidth="1"/>
    <col min="8" max="8" width="12.26953125" bestFit="1" customWidth="1"/>
    <col min="9" max="9" width="9.453125" bestFit="1" customWidth="1"/>
    <col min="13" max="13" width="11.81640625" bestFit="1" customWidth="1"/>
    <col min="16" max="16" width="12.26953125" bestFit="1" customWidth="1"/>
  </cols>
  <sheetData>
    <row r="1" spans="1:17" x14ac:dyDescent="0.35">
      <c r="A1" s="1"/>
      <c r="B1" s="1"/>
      <c r="C1" s="1"/>
      <c r="D1" s="2"/>
      <c r="E1" s="1"/>
      <c r="F1" s="6" t="s">
        <v>0</v>
      </c>
      <c r="G1" s="7"/>
      <c r="H1" s="6" t="s">
        <v>1</v>
      </c>
      <c r="I1" s="7"/>
      <c r="J1" t="s">
        <v>18</v>
      </c>
      <c r="K1" t="s">
        <v>19</v>
      </c>
    </row>
    <row r="2" spans="1:17" ht="28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8">
        <v>3.105</v>
      </c>
      <c r="K2">
        <v>3</v>
      </c>
      <c r="L2" s="9" t="s">
        <v>20</v>
      </c>
      <c r="M2" s="9" t="s">
        <v>21</v>
      </c>
      <c r="N2" s="1" t="s">
        <v>7</v>
      </c>
      <c r="O2" s="1" t="s">
        <v>8</v>
      </c>
      <c r="P2" s="1" t="s">
        <v>9</v>
      </c>
      <c r="Q2" s="1" t="s">
        <v>10</v>
      </c>
    </row>
    <row r="3" spans="1:17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16</v>
      </c>
      <c r="H3" s="11" t="s">
        <v>17</v>
      </c>
      <c r="I3" s="1" t="s">
        <v>17</v>
      </c>
      <c r="L3" s="9" t="s">
        <v>25</v>
      </c>
      <c r="N3" s="1" t="s">
        <v>16</v>
      </c>
      <c r="O3" s="1" t="s">
        <v>16</v>
      </c>
      <c r="P3" s="11" t="s">
        <v>17</v>
      </c>
      <c r="Q3" s="1" t="s">
        <v>17</v>
      </c>
    </row>
    <row r="4" spans="1:17" x14ac:dyDescent="0.35">
      <c r="A4" s="3">
        <v>0.01</v>
      </c>
      <c r="B4">
        <f>L4*1000</f>
        <v>0.17484166666666665</v>
      </c>
      <c r="C4" s="4">
        <v>100</v>
      </c>
      <c r="D4" s="4">
        <v>20</v>
      </c>
      <c r="E4" s="4">
        <v>50</v>
      </c>
      <c r="F4" s="10">
        <f>N4*1000000</f>
        <v>-1.39699E-2</v>
      </c>
      <c r="G4" s="10">
        <f>O4*1000000</f>
        <v>-2.7939799999999997E-3</v>
      </c>
      <c r="H4" s="11">
        <f>P4*1000</f>
        <v>0.52452500000000002</v>
      </c>
      <c r="I4" s="11">
        <f>Q4*1000</f>
        <v>0</v>
      </c>
      <c r="L4">
        <f>P4/$K$2</f>
        <v>1.7484166666666666E-4</v>
      </c>
      <c r="M4">
        <f>L4^3</f>
        <v>5.3448412824890041E-12</v>
      </c>
      <c r="N4" s="5">
        <v>-1.39699E-8</v>
      </c>
      <c r="O4" s="5">
        <v>-2.7939799999999999E-9</v>
      </c>
      <c r="P4" s="11">
        <v>5.2452499999999997E-4</v>
      </c>
      <c r="Q4" s="1">
        <v>0</v>
      </c>
    </row>
    <row r="5" spans="1:17" x14ac:dyDescent="0.35">
      <c r="A5" s="3">
        <v>0.05</v>
      </c>
      <c r="B5">
        <f t="shared" ref="B5:B18" si="0">L5*1000</f>
        <v>0.86593999999999993</v>
      </c>
      <c r="C5" s="4">
        <v>100</v>
      </c>
      <c r="D5" s="4">
        <v>20</v>
      </c>
      <c r="E5" s="4">
        <v>50</v>
      </c>
      <c r="F5" s="10">
        <f t="shared" ref="F5:F18" si="1">N5*1000000</f>
        <v>0.36787399999999998</v>
      </c>
      <c r="G5" s="10">
        <f t="shared" ref="G5:G18" si="2">O5*1000000</f>
        <v>0</v>
      </c>
      <c r="H5" s="11">
        <f t="shared" ref="H5:H18" si="3">P5*1000</f>
        <v>2.59782</v>
      </c>
      <c r="I5" s="11">
        <f t="shared" ref="I5:I18" si="4">Q5*1000</f>
        <v>-3.8147299999999997E-3</v>
      </c>
      <c r="L5">
        <f t="shared" ref="L5:L18" si="5">P5/$K$2</f>
        <v>8.6593999999999994E-4</v>
      </c>
      <c r="M5">
        <f t="shared" ref="M5:M18" si="6">L5^3</f>
        <v>6.4932691327258382E-10</v>
      </c>
      <c r="N5" s="5">
        <v>3.6787399999999998E-7</v>
      </c>
      <c r="O5" s="1">
        <v>0</v>
      </c>
      <c r="P5" s="11">
        <v>2.5978199999999998E-3</v>
      </c>
      <c r="Q5" s="5">
        <v>-3.8147299999999996E-6</v>
      </c>
    </row>
    <row r="6" spans="1:17" x14ac:dyDescent="0.35">
      <c r="A6" s="3">
        <v>0.1</v>
      </c>
      <c r="B6">
        <f t="shared" si="0"/>
        <v>1.7395133333333332</v>
      </c>
      <c r="C6" s="4">
        <v>100</v>
      </c>
      <c r="D6" s="4">
        <v>20</v>
      </c>
      <c r="E6" s="4">
        <v>50</v>
      </c>
      <c r="F6" s="10">
        <f t="shared" si="1"/>
        <v>1.6344800000000002</v>
      </c>
      <c r="G6" s="10">
        <f t="shared" si="2"/>
        <v>4.4703699999999999E-2</v>
      </c>
      <c r="H6" s="11">
        <f t="shared" si="3"/>
        <v>5.21854</v>
      </c>
      <c r="I6" s="11">
        <f t="shared" si="4"/>
        <v>-7.6294500000000003E-3</v>
      </c>
      <c r="L6">
        <f t="shared" si="5"/>
        <v>1.7395133333333332E-3</v>
      </c>
      <c r="M6">
        <f t="shared" si="6"/>
        <v>5.2636049402127343E-9</v>
      </c>
      <c r="N6" s="5">
        <v>1.6344800000000001E-6</v>
      </c>
      <c r="O6" s="5">
        <v>4.4703699999999998E-8</v>
      </c>
      <c r="P6" s="11">
        <v>5.2185399999999998E-3</v>
      </c>
      <c r="Q6" s="5">
        <v>-7.6294500000000003E-6</v>
      </c>
    </row>
    <row r="7" spans="1:17" x14ac:dyDescent="0.35">
      <c r="A7" s="3">
        <v>0.15</v>
      </c>
      <c r="B7">
        <f t="shared" si="0"/>
        <v>2.6041866666666662</v>
      </c>
      <c r="C7" s="4">
        <v>100</v>
      </c>
      <c r="D7" s="4">
        <v>20</v>
      </c>
      <c r="E7" s="4">
        <v>50</v>
      </c>
      <c r="F7" s="10">
        <f t="shared" si="1"/>
        <v>2.0740700000000003</v>
      </c>
      <c r="G7" s="10">
        <f t="shared" si="2"/>
        <v>3.9115799999999999E-2</v>
      </c>
      <c r="H7" s="11">
        <f t="shared" si="3"/>
        <v>7.8125599999999995</v>
      </c>
      <c r="I7" s="11">
        <f t="shared" si="4"/>
        <v>-9.5367999999999998E-3</v>
      </c>
      <c r="L7">
        <f t="shared" si="5"/>
        <v>2.6041866666666664E-3</v>
      </c>
      <c r="M7">
        <f t="shared" si="6"/>
        <v>1.7661042393171299E-8</v>
      </c>
      <c r="N7" s="5">
        <v>2.0740700000000002E-6</v>
      </c>
      <c r="O7" s="5">
        <v>3.91158E-8</v>
      </c>
      <c r="P7" s="11">
        <v>7.8125599999999996E-3</v>
      </c>
      <c r="Q7" s="5">
        <v>-9.5367999999999999E-6</v>
      </c>
    </row>
    <row r="8" spans="1:17" x14ac:dyDescent="0.35">
      <c r="A8" s="3">
        <v>0.2</v>
      </c>
      <c r="B8">
        <f t="shared" si="0"/>
        <v>3.4834666666666667</v>
      </c>
      <c r="C8" s="4">
        <v>100</v>
      </c>
      <c r="D8" s="4">
        <v>20</v>
      </c>
      <c r="E8" s="4">
        <v>50</v>
      </c>
      <c r="F8" s="10">
        <f t="shared" si="1"/>
        <v>2.3199399999999999</v>
      </c>
      <c r="G8" s="10">
        <f t="shared" si="2"/>
        <v>0.10989699999999999</v>
      </c>
      <c r="H8" s="11">
        <f t="shared" si="3"/>
        <v>10.4504</v>
      </c>
      <c r="I8" s="11">
        <f t="shared" si="4"/>
        <v>-1.3351500000000001E-2</v>
      </c>
      <c r="L8">
        <f t="shared" si="5"/>
        <v>3.4834666666666669E-3</v>
      </c>
      <c r="M8">
        <f t="shared" si="6"/>
        <v>4.2270265667261642E-8</v>
      </c>
      <c r="N8" s="5">
        <v>2.3199399999999998E-6</v>
      </c>
      <c r="O8" s="5">
        <v>1.0989699999999999E-7</v>
      </c>
      <c r="P8" s="11">
        <v>1.04504E-2</v>
      </c>
      <c r="Q8" s="5">
        <v>-1.3351500000000001E-5</v>
      </c>
    </row>
    <row r="9" spans="1:17" x14ac:dyDescent="0.35">
      <c r="A9" s="3">
        <v>0.25</v>
      </c>
      <c r="B9">
        <f t="shared" si="0"/>
        <v>4.3538666666666668</v>
      </c>
      <c r="C9" s="4">
        <v>100</v>
      </c>
      <c r="D9" s="4">
        <v>20</v>
      </c>
      <c r="E9" s="4">
        <v>50</v>
      </c>
      <c r="F9" s="10">
        <f t="shared" si="1"/>
        <v>2.4484600000000003</v>
      </c>
      <c r="G9" s="10">
        <f t="shared" si="2"/>
        <v>0.227244</v>
      </c>
      <c r="H9" s="11">
        <f t="shared" si="3"/>
        <v>13.0616</v>
      </c>
      <c r="I9" s="11">
        <f t="shared" si="4"/>
        <v>-1.5258900000000001E-2</v>
      </c>
      <c r="L9">
        <f t="shared" si="5"/>
        <v>4.3538666666666668E-3</v>
      </c>
      <c r="M9">
        <f t="shared" si="6"/>
        <v>8.2532571169810962E-8</v>
      </c>
      <c r="N9" s="5">
        <v>2.4484600000000001E-6</v>
      </c>
      <c r="O9" s="5">
        <v>2.2724399999999999E-7</v>
      </c>
      <c r="P9" s="11">
        <v>1.30616E-2</v>
      </c>
      <c r="Q9" s="5">
        <v>-1.5258900000000001E-5</v>
      </c>
    </row>
    <row r="10" spans="1:17" x14ac:dyDescent="0.35">
      <c r="A10" s="12">
        <v>0.3</v>
      </c>
      <c r="B10">
        <f t="shared" si="0"/>
        <v>5.2122000000000002</v>
      </c>
      <c r="C10" s="13">
        <v>100</v>
      </c>
      <c r="D10" s="13">
        <v>20</v>
      </c>
      <c r="E10" s="13">
        <v>50</v>
      </c>
      <c r="F10" s="10">
        <f t="shared" si="1"/>
        <v>2.2845499999999999</v>
      </c>
      <c r="G10" s="10">
        <f t="shared" si="2"/>
        <v>0.43865500000000002</v>
      </c>
      <c r="H10" s="11">
        <f t="shared" si="3"/>
        <v>15.636600000000001</v>
      </c>
      <c r="I10" s="11">
        <f t="shared" si="4"/>
        <v>-1.90736E-2</v>
      </c>
      <c r="L10">
        <f t="shared" si="5"/>
        <v>5.2122000000000002E-3</v>
      </c>
      <c r="M10">
        <f t="shared" si="6"/>
        <v>1.4159998771984802E-7</v>
      </c>
      <c r="N10" s="14">
        <v>2.28455E-6</v>
      </c>
      <c r="O10" s="14">
        <v>4.3865500000000001E-7</v>
      </c>
      <c r="P10" s="15">
        <v>1.56366E-2</v>
      </c>
      <c r="Q10" s="14">
        <v>-1.90736E-5</v>
      </c>
    </row>
    <row r="11" spans="1:17" x14ac:dyDescent="0.35">
      <c r="A11" s="16">
        <v>0.35</v>
      </c>
      <c r="B11">
        <f t="shared" si="0"/>
        <v>6.0863999999999994</v>
      </c>
      <c r="C11" s="13">
        <v>100</v>
      </c>
      <c r="D11" s="13">
        <v>20</v>
      </c>
      <c r="E11" s="13">
        <v>50</v>
      </c>
      <c r="F11" s="10">
        <f t="shared" si="1"/>
        <v>2.3981700000000004</v>
      </c>
      <c r="G11" s="10">
        <f t="shared" si="2"/>
        <v>0.72457300000000002</v>
      </c>
      <c r="H11" s="11">
        <f t="shared" si="3"/>
        <v>18.2592</v>
      </c>
      <c r="I11" s="11">
        <f t="shared" si="4"/>
        <v>-2.28883E-2</v>
      </c>
      <c r="L11">
        <f t="shared" si="5"/>
        <v>6.0863999999999996E-3</v>
      </c>
      <c r="M11">
        <f t="shared" si="6"/>
        <v>2.2546621425254398E-7</v>
      </c>
      <c r="N11" s="18">
        <v>2.3981700000000002E-6</v>
      </c>
      <c r="O11" s="18">
        <v>7.2457300000000001E-7</v>
      </c>
      <c r="P11" s="17">
        <v>1.82592E-2</v>
      </c>
      <c r="Q11" s="18">
        <v>-2.2888299999999999E-5</v>
      </c>
    </row>
    <row r="12" spans="1:17" x14ac:dyDescent="0.35">
      <c r="A12" s="16">
        <v>0.5</v>
      </c>
      <c r="B12">
        <f t="shared" si="0"/>
        <v>8.6975333333333342</v>
      </c>
      <c r="C12" s="13">
        <v>100</v>
      </c>
      <c r="D12" s="13">
        <v>20</v>
      </c>
      <c r="E12" s="13">
        <v>50</v>
      </c>
      <c r="F12" s="10">
        <f t="shared" si="1"/>
        <v>2.5695300000000003</v>
      </c>
      <c r="G12" s="10">
        <f t="shared" si="2"/>
        <v>1.74996</v>
      </c>
      <c r="H12" s="11">
        <f t="shared" si="3"/>
        <v>26.092600000000001</v>
      </c>
      <c r="I12" s="11">
        <f t="shared" si="4"/>
        <v>-3.0517800000000001E-2</v>
      </c>
      <c r="L12">
        <f t="shared" si="5"/>
        <v>8.6975333333333335E-3</v>
      </c>
      <c r="M12">
        <f t="shared" si="6"/>
        <v>6.579430527889918E-7</v>
      </c>
      <c r="N12" s="18">
        <v>2.5695300000000001E-6</v>
      </c>
      <c r="O12" s="18">
        <v>1.7499599999999999E-6</v>
      </c>
      <c r="P12" s="17">
        <v>2.6092600000000001E-2</v>
      </c>
      <c r="Q12" s="18">
        <v>-3.0517800000000001E-5</v>
      </c>
    </row>
    <row r="13" spans="1:17" x14ac:dyDescent="0.35">
      <c r="A13" s="16">
        <v>0.7</v>
      </c>
      <c r="B13">
        <f t="shared" si="0"/>
        <v>12.152433333333333</v>
      </c>
      <c r="C13" s="13">
        <v>100</v>
      </c>
      <c r="D13" s="13">
        <v>20</v>
      </c>
      <c r="E13" s="13">
        <v>50</v>
      </c>
      <c r="F13" s="10">
        <f t="shared" si="1"/>
        <v>0.33993499999999999</v>
      </c>
      <c r="G13" s="10">
        <f t="shared" si="2"/>
        <v>4.8447700000000005</v>
      </c>
      <c r="H13" s="11">
        <f t="shared" si="3"/>
        <v>36.457299999999996</v>
      </c>
      <c r="I13" s="11">
        <f t="shared" si="4"/>
        <v>-4.1961900000000003E-2</v>
      </c>
      <c r="L13">
        <f t="shared" si="5"/>
        <v>1.2152433333333332E-2</v>
      </c>
      <c r="M13">
        <f t="shared" si="6"/>
        <v>1.7946912350889076E-6</v>
      </c>
      <c r="N13" s="18">
        <v>3.3993499999999998E-7</v>
      </c>
      <c r="O13" s="18">
        <v>4.8447700000000002E-6</v>
      </c>
      <c r="P13" s="17">
        <v>3.6457299999999998E-2</v>
      </c>
      <c r="Q13" s="18">
        <v>-4.1961900000000002E-5</v>
      </c>
    </row>
    <row r="14" spans="1:17" x14ac:dyDescent="0.35">
      <c r="A14" s="16">
        <v>0.9</v>
      </c>
      <c r="B14">
        <f t="shared" si="0"/>
        <v>15.493466666666665</v>
      </c>
      <c r="C14" s="13">
        <v>100</v>
      </c>
      <c r="D14" s="13">
        <v>20</v>
      </c>
      <c r="E14" s="13">
        <v>50</v>
      </c>
      <c r="F14" s="10">
        <f t="shared" si="1"/>
        <v>-1.41096</v>
      </c>
      <c r="G14" s="10">
        <f t="shared" si="2"/>
        <v>9.4064200000000007</v>
      </c>
      <c r="H14" s="11">
        <f t="shared" si="3"/>
        <v>46.480399999999996</v>
      </c>
      <c r="I14" s="11">
        <f t="shared" si="4"/>
        <v>-5.3406000000000002E-2</v>
      </c>
      <c r="L14">
        <f t="shared" si="5"/>
        <v>1.5493466666666665E-2</v>
      </c>
      <c r="M14">
        <f t="shared" si="6"/>
        <v>3.7191680845477942E-6</v>
      </c>
      <c r="N14" s="18">
        <v>-1.4109600000000001E-6</v>
      </c>
      <c r="O14" s="18">
        <v>9.40642E-6</v>
      </c>
      <c r="P14" s="17">
        <v>4.6480399999999998E-2</v>
      </c>
      <c r="Q14" s="18">
        <v>-5.3406000000000003E-5</v>
      </c>
    </row>
    <row r="15" spans="1:17" x14ac:dyDescent="0.35">
      <c r="A15" s="16">
        <v>1.1000000000000001</v>
      </c>
      <c r="B15">
        <f t="shared" si="0"/>
        <v>19.099</v>
      </c>
      <c r="C15" s="17">
        <v>100</v>
      </c>
      <c r="D15" s="17">
        <v>50</v>
      </c>
      <c r="E15" s="17">
        <v>100</v>
      </c>
      <c r="F15" s="10">
        <f t="shared" si="1"/>
        <v>-3.6787399999999999</v>
      </c>
      <c r="G15" s="10">
        <f t="shared" si="2"/>
        <v>19.362299999999998</v>
      </c>
      <c r="H15" s="11">
        <f t="shared" si="3"/>
        <v>57.297000000000004</v>
      </c>
      <c r="I15" s="11">
        <f t="shared" si="4"/>
        <v>-6.866499999999999E-2</v>
      </c>
      <c r="L15">
        <f t="shared" si="5"/>
        <v>1.9099000000000001E-2</v>
      </c>
      <c r="M15">
        <f t="shared" si="6"/>
        <v>6.9667766272990017E-6</v>
      </c>
      <c r="N15" s="18">
        <v>-3.6787399999999999E-6</v>
      </c>
      <c r="O15" s="18">
        <v>1.9362299999999999E-5</v>
      </c>
      <c r="P15" s="17">
        <v>5.7297000000000001E-2</v>
      </c>
      <c r="Q15" s="18">
        <v>-6.8664999999999994E-5</v>
      </c>
    </row>
    <row r="16" spans="1:17" x14ac:dyDescent="0.35">
      <c r="A16" s="16">
        <v>1.3</v>
      </c>
      <c r="B16">
        <f t="shared" si="0"/>
        <v>22.5641</v>
      </c>
      <c r="C16" s="17">
        <v>100</v>
      </c>
      <c r="D16" s="17">
        <v>50</v>
      </c>
      <c r="E16" s="17">
        <v>100</v>
      </c>
      <c r="F16" s="10">
        <f t="shared" si="1"/>
        <v>-7.0985699999999996</v>
      </c>
      <c r="G16" s="10">
        <f t="shared" si="2"/>
        <v>32.078700000000005</v>
      </c>
      <c r="H16" s="11">
        <f t="shared" si="3"/>
        <v>67.692300000000003</v>
      </c>
      <c r="I16" s="11">
        <f t="shared" si="4"/>
        <v>-8.0109099999999989E-2</v>
      </c>
      <c r="L16">
        <f t="shared" si="5"/>
        <v>2.25641E-2</v>
      </c>
      <c r="M16">
        <f t="shared" si="6"/>
        <v>1.1488254483049722E-5</v>
      </c>
      <c r="N16" s="18">
        <v>-7.0985699999999997E-6</v>
      </c>
      <c r="O16" s="18">
        <v>3.2078700000000002E-5</v>
      </c>
      <c r="P16" s="17">
        <v>6.7692299999999997E-2</v>
      </c>
      <c r="Q16" s="18">
        <v>-8.0109099999999995E-5</v>
      </c>
    </row>
    <row r="17" spans="1:17" x14ac:dyDescent="0.35">
      <c r="A17" s="16">
        <v>1.5</v>
      </c>
      <c r="B17">
        <f t="shared" si="0"/>
        <v>26.031666666666666</v>
      </c>
      <c r="C17" s="17">
        <v>100</v>
      </c>
      <c r="D17" s="17">
        <v>100</v>
      </c>
      <c r="E17" s="17">
        <v>100</v>
      </c>
      <c r="F17" s="10">
        <f t="shared" si="1"/>
        <v>-11.3696</v>
      </c>
      <c r="G17" s="10">
        <f t="shared" si="2"/>
        <v>49.4758</v>
      </c>
      <c r="H17" s="11">
        <f t="shared" si="3"/>
        <v>78.094999999999999</v>
      </c>
      <c r="I17" s="11">
        <f t="shared" si="4"/>
        <v>-9.1553200000000001E-2</v>
      </c>
      <c r="L17">
        <f t="shared" si="5"/>
        <v>2.6031666666666665E-2</v>
      </c>
      <c r="M17">
        <f t="shared" si="6"/>
        <v>1.7640298248421291E-5</v>
      </c>
      <c r="N17" s="18">
        <v>-1.13696E-5</v>
      </c>
      <c r="O17" s="18">
        <v>4.9475799999999998E-5</v>
      </c>
      <c r="P17" s="17">
        <v>7.8094999999999998E-2</v>
      </c>
      <c r="Q17" s="18">
        <v>-9.1553199999999996E-5</v>
      </c>
    </row>
    <row r="18" spans="1:17" x14ac:dyDescent="0.35">
      <c r="A18" s="16">
        <v>1.7</v>
      </c>
      <c r="B18">
        <f t="shared" si="0"/>
        <v>29.496666666666666</v>
      </c>
      <c r="C18" s="17">
        <v>100</v>
      </c>
      <c r="D18" s="17">
        <v>100</v>
      </c>
      <c r="E18" s="17">
        <v>100</v>
      </c>
      <c r="F18" s="10">
        <f t="shared" si="1"/>
        <v>-16.976299999999998</v>
      </c>
      <c r="G18" s="10">
        <f t="shared" si="2"/>
        <v>72.319500000000005</v>
      </c>
      <c r="H18" s="11">
        <f t="shared" si="3"/>
        <v>88.49</v>
      </c>
      <c r="I18" s="11">
        <f t="shared" si="4"/>
        <v>-0.10299700000000001</v>
      </c>
      <c r="L18">
        <f t="shared" si="5"/>
        <v>2.9496666666666668E-2</v>
      </c>
      <c r="M18">
        <f t="shared" si="6"/>
        <v>2.5663673483296301E-5</v>
      </c>
      <c r="N18" s="18">
        <v>-1.6976299999999999E-5</v>
      </c>
      <c r="O18" s="18">
        <v>7.2319500000000004E-5</v>
      </c>
      <c r="P18" s="17">
        <v>8.8489999999999999E-2</v>
      </c>
      <c r="Q18" s="17">
        <v>-1.02997E-4</v>
      </c>
    </row>
    <row r="43" spans="4:4" x14ac:dyDescent="0.35">
      <c r="D43" t="s">
        <v>22</v>
      </c>
    </row>
    <row r="44" spans="4:4" x14ac:dyDescent="0.35">
      <c r="D44" t="s">
        <v>23</v>
      </c>
    </row>
    <row r="45" spans="4:4" x14ac:dyDescent="0.35">
      <c r="D45" t="s">
        <v>24</v>
      </c>
    </row>
  </sheetData>
  <mergeCells count="2">
    <mergeCell ref="F1:G1"/>
    <mergeCell ref="H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Xueting Yan</dc:creator>
  <cp:lastModifiedBy>Xueting Yan</cp:lastModifiedBy>
  <dcterms:created xsi:type="dcterms:W3CDTF">2015-06-05T18:17:20Z</dcterms:created>
  <dcterms:modified xsi:type="dcterms:W3CDTF">2020-06-25T16:36:21Z</dcterms:modified>
</cp:coreProperties>
</file>